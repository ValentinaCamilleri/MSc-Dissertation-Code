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lentina\Documents\University\Dissertation\"/>
    </mc:Choice>
  </mc:AlternateContent>
  <xr:revisionPtr revIDLastSave="0" documentId="8_{DEE6F58A-02FA-44B8-8257-AA5A673DE6D9}" xr6:coauthVersionLast="47" xr6:coauthVersionMax="47" xr10:uidLastSave="{00000000-0000-0000-0000-000000000000}"/>
  <bookViews>
    <workbookView xWindow="-120" yWindow="-120" windowWidth="29040" windowHeight="15720" xr2:uid="{00000000-000D-0000-FFFF-FFFF00000000}"/>
  </bookViews>
  <sheets>
    <sheet name="Screening" sheetId="1" r:id="rId1"/>
    <sheet name="Summary" sheetId="2" r:id="rId2"/>
    <sheet name="Legen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 l="1"/>
  <c r="E16" i="2"/>
  <c r="E15" i="2"/>
  <c r="E14" i="2"/>
  <c r="E13" i="2"/>
  <c r="E12" i="2"/>
  <c r="E11" i="2"/>
  <c r="E10" i="2"/>
  <c r="E9" i="2"/>
  <c r="E8" i="2"/>
  <c r="E7" i="2"/>
  <c r="B7" i="2"/>
  <c r="E6" i="2"/>
  <c r="B6" i="2"/>
  <c r="E5" i="2"/>
  <c r="B5" i="2"/>
  <c r="E4" i="2"/>
  <c r="B3" i="2"/>
  <c r="AA14" i="1"/>
  <c r="Z14" i="1"/>
  <c r="AA13" i="1"/>
  <c r="Z13" i="1"/>
  <c r="AA12" i="1"/>
  <c r="Z12" i="1"/>
  <c r="AA11" i="1"/>
  <c r="Z11" i="1"/>
  <c r="AA10" i="1"/>
  <c r="Z10" i="1"/>
  <c r="AA9" i="1"/>
  <c r="Z9" i="1"/>
  <c r="AA8" i="1"/>
  <c r="Z8" i="1"/>
  <c r="AA7" i="1"/>
  <c r="Z7" i="1"/>
  <c r="AA6" i="1"/>
  <c r="Z6" i="1"/>
  <c r="AA5" i="1"/>
  <c r="B4" i="2" s="1"/>
  <c r="Z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D4" authorId="0" shapeId="0" xr:uid="{00000000-0006-0000-0000-000001000000}">
      <text>
        <r>
          <rPr>
            <sz val="11"/>
            <color theme="1"/>
            <rFont val="Calibri"/>
            <family val="2"/>
            <scheme val="minor"/>
          </rPr>
          <t>Medial patella</t>
        </r>
      </text>
    </comment>
    <comment ref="E4" authorId="0" shapeId="0" xr:uid="{00000000-0006-0000-0000-000002000000}">
      <text>
        <r>
          <rPr>
            <sz val="11"/>
            <color theme="1"/>
            <rFont val="Calibri"/>
            <family val="2"/>
            <scheme val="minor"/>
          </rPr>
          <t>Lateral patella</t>
        </r>
      </text>
    </comment>
    <comment ref="F4" authorId="0" shapeId="0" xr:uid="{00000000-0006-0000-0000-000003000000}">
      <text>
        <r>
          <rPr>
            <sz val="11"/>
            <color theme="1"/>
            <rFont val="Calibri"/>
            <family val="2"/>
            <scheme val="minor"/>
          </rPr>
          <t>Medial femur trochlea</t>
        </r>
      </text>
    </comment>
    <comment ref="G4" authorId="0" shapeId="0" xr:uid="{00000000-0006-0000-0000-000004000000}">
      <text>
        <r>
          <rPr>
            <sz val="11"/>
            <color theme="1"/>
            <rFont val="Calibri"/>
            <family val="2"/>
            <scheme val="minor"/>
          </rPr>
          <t>Medial femur central</t>
        </r>
      </text>
    </comment>
    <comment ref="H4" authorId="0" shapeId="0" xr:uid="{00000000-0006-0000-0000-000005000000}">
      <text>
        <r>
          <rPr>
            <sz val="11"/>
            <color theme="1"/>
            <rFont val="Calibri"/>
            <family val="2"/>
            <scheme val="minor"/>
          </rPr>
          <t>Medial femur posterior</t>
        </r>
      </text>
    </comment>
    <comment ref="I4" authorId="0" shapeId="0" xr:uid="{00000000-0006-0000-0000-000006000000}">
      <text>
        <r>
          <rPr>
            <sz val="11"/>
            <color theme="1"/>
            <rFont val="Calibri"/>
            <family val="2"/>
            <scheme val="minor"/>
          </rPr>
          <t>Lateral femur trochlea</t>
        </r>
      </text>
    </comment>
    <comment ref="J4" authorId="0" shapeId="0" xr:uid="{00000000-0006-0000-0000-000007000000}">
      <text>
        <r>
          <rPr>
            <sz val="11"/>
            <color theme="1"/>
            <rFont val="Calibri"/>
            <family val="2"/>
            <scheme val="minor"/>
          </rPr>
          <t>Lateral femur central</t>
        </r>
      </text>
    </comment>
    <comment ref="K4" authorId="0" shapeId="0" xr:uid="{00000000-0006-0000-0000-000008000000}">
      <text>
        <r>
          <rPr>
            <sz val="11"/>
            <color theme="1"/>
            <rFont val="Calibri"/>
            <family val="2"/>
            <scheme val="minor"/>
          </rPr>
          <t>Lateral femur posterior</t>
        </r>
      </text>
    </comment>
    <comment ref="L4" authorId="0" shapeId="0" xr:uid="{00000000-0006-0000-0000-000009000000}">
      <text>
        <r>
          <rPr>
            <sz val="11"/>
            <color theme="1"/>
            <rFont val="Calibri"/>
            <family val="2"/>
            <scheme val="minor"/>
          </rPr>
          <t>Medial tibia anterior</t>
        </r>
      </text>
    </comment>
    <comment ref="M4" authorId="0" shapeId="0" xr:uid="{00000000-0006-0000-0000-00000A000000}">
      <text>
        <r>
          <rPr>
            <sz val="11"/>
            <color theme="1"/>
            <rFont val="Calibri"/>
            <family val="2"/>
            <scheme val="minor"/>
          </rPr>
          <t>Medial tibia central</t>
        </r>
      </text>
    </comment>
    <comment ref="N4" authorId="0" shapeId="0" xr:uid="{00000000-0006-0000-0000-00000B000000}">
      <text>
        <r>
          <rPr>
            <sz val="11"/>
            <color theme="1"/>
            <rFont val="Calibri"/>
            <family val="2"/>
            <scheme val="minor"/>
          </rPr>
          <t>Medial tibia posterior</t>
        </r>
      </text>
    </comment>
    <comment ref="O4" authorId="0" shapeId="0" xr:uid="{00000000-0006-0000-0000-00000C000000}">
      <text>
        <r>
          <rPr>
            <sz val="11"/>
            <color theme="1"/>
            <rFont val="Calibri"/>
            <family val="2"/>
            <scheme val="minor"/>
          </rPr>
          <t>Lateral tibia anterior</t>
        </r>
      </text>
    </comment>
    <comment ref="P4" authorId="0" shapeId="0" xr:uid="{00000000-0006-0000-0000-00000D000000}">
      <text>
        <r>
          <rPr>
            <sz val="11"/>
            <color theme="1"/>
            <rFont val="Calibri"/>
            <family val="2"/>
            <scheme val="minor"/>
          </rPr>
          <t>Lateral tibia central</t>
        </r>
      </text>
    </comment>
    <comment ref="Q4" authorId="0" shapeId="0" xr:uid="{00000000-0006-0000-0000-00000E000000}">
      <text>
        <r>
          <rPr>
            <sz val="11"/>
            <color theme="1"/>
            <rFont val="Calibri"/>
            <family val="2"/>
            <scheme val="minor"/>
          </rPr>
          <t>Lateral tibia posterior</t>
        </r>
      </text>
    </comment>
  </commentList>
</comments>
</file>

<file path=xl/sharedStrings.xml><?xml version="1.0" encoding="utf-8"?>
<sst xmlns="http://schemas.openxmlformats.org/spreadsheetml/2006/main" count="234" uniqueCount="110">
  <si>
    <t>MOAKS Knee Screening Template — Cartilage-Focused</t>
  </si>
  <si>
    <t>Cartilage is scored using compact MOAKS notation any-loss/full-thickness (for example 0/0, 1/0, 2/1). Non-cartilage features are simplified to Normal/Present only for exclusion screening.</t>
  </si>
  <si>
    <t>Participant info</t>
  </si>
  <si>
    <t>Cartilage regions — enter compact MOAKS score</t>
  </si>
  <si>
    <t>Other structural flags — simplified screen</t>
  </si>
  <si>
    <t>Output</t>
  </si>
  <si>
    <t>Notes</t>
  </si>
  <si>
    <t>Participant ID</t>
  </si>
  <si>
    <t>Reviewer</t>
  </si>
  <si>
    <t>Date</t>
  </si>
  <si>
    <t>Pat_M</t>
  </si>
  <si>
    <t>Pat_L</t>
  </si>
  <si>
    <t>FM_Troch</t>
  </si>
  <si>
    <t>FM_Cent</t>
  </si>
  <si>
    <t>FM_Post</t>
  </si>
  <si>
    <t>FL_Troch</t>
  </si>
  <si>
    <t>FL_Cent</t>
  </si>
  <si>
    <t>FL_Post</t>
  </si>
  <si>
    <t>TM_Ant</t>
  </si>
  <si>
    <t>TM_Cent</t>
  </si>
  <si>
    <t>TM_Post</t>
  </si>
  <si>
    <t>TL_Ant</t>
  </si>
  <si>
    <t>TL_Cent</t>
  </si>
  <si>
    <t>TL_Post</t>
  </si>
  <si>
    <t>BML</t>
  </si>
  <si>
    <t>Cyst</t>
  </si>
  <si>
    <t>Meniscus</t>
  </si>
  <si>
    <t>Extrusion</t>
  </si>
  <si>
    <t>Osteophyte</t>
  </si>
  <si>
    <t>Effusion</t>
  </si>
  <si>
    <t>Hoffa</t>
  </si>
  <si>
    <t>ACL/PCL</t>
  </si>
  <si>
    <t>Total Any</t>
  </si>
  <si>
    <t>Overall</t>
  </si>
  <si>
    <t>Comments</t>
  </si>
  <si>
    <t>P01</t>
  </si>
  <si>
    <t>Normal</t>
  </si>
  <si>
    <t>P02</t>
  </si>
  <si>
    <t>P03</t>
  </si>
  <si>
    <t>P04</t>
  </si>
  <si>
    <t>P05</t>
  </si>
  <si>
    <t>P06</t>
  </si>
  <si>
    <t>P07</t>
  </si>
  <si>
    <t>P08</t>
  </si>
  <si>
    <t>P09</t>
  </si>
  <si>
    <t>P10</t>
  </si>
  <si>
    <t>Screening Summary</t>
  </si>
  <si>
    <t>Total participants</t>
  </si>
  <si>
    <t>Region</t>
  </si>
  <si>
    <t>Abnormal count</t>
  </si>
  <si>
    <t>PASS</t>
  </si>
  <si>
    <t>EXCLUDE</t>
  </si>
  <si>
    <t>REVIEW</t>
  </si>
  <si>
    <t>Average Total Any</t>
  </si>
  <si>
    <t>Legend &amp; Instructions</t>
  </si>
  <si>
    <t>1) Cartilage compact score</t>
  </si>
  <si>
    <t>Suggested rule</t>
  </si>
  <si>
    <t>Score</t>
  </si>
  <si>
    <t>Meaning</t>
  </si>
  <si>
    <t>PASS only if all cartilage cells = 0/0 and all non-cartilage flags = Normal.</t>
  </si>
  <si>
    <t>0/0</t>
  </si>
  <si>
    <t>Normal cartilage, no defect</t>
  </si>
  <si>
    <t>REVIEW appears if participant info or any cartilage cell is blank.</t>
  </si>
  <si>
    <t>1/0</t>
  </si>
  <si>
    <t>&lt;10% area affected, no full-thickness loss</t>
  </si>
  <si>
    <t>EXCLUDE appears if any cartilage cell is not 0/0 or any non-cartilage flag is Present.</t>
  </si>
  <si>
    <t>1/1</t>
  </si>
  <si>
    <t>&lt;10% area affected, &lt;10% full-thickness component</t>
  </si>
  <si>
    <t>2/0</t>
  </si>
  <si>
    <t>10–75% area affected, no full-thickness loss</t>
  </si>
  <si>
    <t>2/1</t>
  </si>
  <si>
    <t>10–75% area affected, &lt;10% full-thickness component</t>
  </si>
  <si>
    <t>2/2</t>
  </si>
  <si>
    <t>10–75% area affected, 10–75% full-thickness component</t>
  </si>
  <si>
    <t>3/0</t>
  </si>
  <si>
    <t>&gt;75% area affected, no full-thickness loss</t>
  </si>
  <si>
    <t>3/1</t>
  </si>
  <si>
    <t>&gt;75% area affected, &lt;10% full-thickness component</t>
  </si>
  <si>
    <t>3/2</t>
  </si>
  <si>
    <t>&gt;75% area affected, 10–75% full-thickness component</t>
  </si>
  <si>
    <t>3/3</t>
  </si>
  <si>
    <t>&gt;75% area affected, &gt;75% full-thickness component</t>
  </si>
  <si>
    <t>2) Simplified non-cartilage screening</t>
  </si>
  <si>
    <t>Feature</t>
  </si>
  <si>
    <t>Use</t>
  </si>
  <si>
    <t>Normal / Present</t>
  </si>
  <si>
    <t>Bone marrow lesion present anywhere</t>
  </si>
  <si>
    <t>Subchondral cyst present anywhere</t>
  </si>
  <si>
    <t>Any tear, maceration, or relevant pathology</t>
  </si>
  <si>
    <t>Any pathologic meniscal extrusion</t>
  </si>
  <si>
    <t>Any osteophyte present</t>
  </si>
  <si>
    <t>Effusion-synovitis present</t>
  </si>
  <si>
    <t>Hoffa-synovitis / edema present</t>
  </si>
  <si>
    <t>Any partial or complete cruciate tear</t>
  </si>
  <si>
    <t>3) Region abbreviations</t>
  </si>
  <si>
    <t>Abbrev.</t>
  </si>
  <si>
    <t>Medial patella</t>
  </si>
  <si>
    <t>Lateral patella</t>
  </si>
  <si>
    <t>Medial femur trochlea</t>
  </si>
  <si>
    <t>Medial femur central</t>
  </si>
  <si>
    <t>Medial femur posterior</t>
  </si>
  <si>
    <t>Lateral femur trochlea</t>
  </si>
  <si>
    <t>Lateral femur central</t>
  </si>
  <si>
    <t>Lateral femur posterior</t>
  </si>
  <si>
    <t>Medial tibia anterior</t>
  </si>
  <si>
    <t>Medial tibia central</t>
  </si>
  <si>
    <t>Medial tibia posterior</t>
  </si>
  <si>
    <t>Lateral tibia anterior</t>
  </si>
  <si>
    <t>Lateral tibia central</t>
  </si>
  <si>
    <t>Lateral tibia posterior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</si>
</sst>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x14ac:knownFonts="1">
    <font>
      <sz val="11"/>
      <color theme="1"/>
      <name val="Calibri"/>
      <family val="2"/>
      <scheme val="minor"/>
    </font>
    <font>
      <b/>
      <sz val="15"/>
      <color rgb="FFFFFFFF"/>
      <name val="Calibri"/>
    </font>
    <font>
      <i/>
      <sz val="11"/>
      <color rgb="FF1F2937"/>
      <name val="Calibri"/>
    </font>
    <font>
      <b/>
      <sz val="11"/>
      <color rgb="FFFFFFFF"/>
      <name val="Calibri"/>
    </font>
    <font>
      <b/>
      <sz val="11"/>
      <color rgb="FF1F2937"/>
      <name val="Calibri"/>
    </font>
    <font>
      <sz val="11"/>
      <color rgb="FF0000FF"/>
      <name val="Calibri"/>
    </font>
    <font>
      <b/>
      <sz val="14"/>
      <color rgb="FFFFFFFF"/>
      <name val="Calibri"/>
    </font>
    <font>
      <b/>
      <sz val="11"/>
      <name val="Calibri"/>
    </font>
    <font>
      <sz val="11"/>
      <name val="Calibri"/>
    </font>
  </fonts>
  <fills count="12">
    <fill>
      <patternFill patternType="none"/>
    </fill>
    <fill>
      <patternFill patternType="gray125"/>
    </fill>
    <fill>
      <patternFill patternType="solid">
        <fgColor rgb="FF1F4E78"/>
      </patternFill>
    </fill>
    <fill>
      <patternFill patternType="solid">
        <fgColor rgb="FFEEF5FB"/>
      </patternFill>
    </fill>
    <fill>
      <patternFill patternType="solid">
        <fgColor rgb="FFFFFFFF"/>
      </patternFill>
    </fill>
    <fill>
      <patternFill patternType="solid">
        <fgColor rgb="FFD9EAF7"/>
      </patternFill>
    </fill>
    <fill>
      <patternFill patternType="solid">
        <fgColor rgb="FFFCE4D6"/>
      </patternFill>
    </fill>
    <fill>
      <patternFill patternType="solid">
        <fgColor rgb="FFF3F4F6"/>
      </patternFill>
    </fill>
    <fill>
      <patternFill patternType="solid">
        <fgColor rgb="FFF7FBFF"/>
      </patternFill>
    </fill>
    <fill>
      <patternFill patternType="solid">
        <fgColor rgb="FFE2F0D9"/>
      </patternFill>
    </fill>
    <fill>
      <patternFill patternType="solid">
        <fgColor rgb="FFFFF2CC"/>
      </patternFill>
    </fill>
    <fill>
      <patternFill patternType="solid">
        <fgColor rgb="FFFDE9E7"/>
      </patternFill>
    </fill>
  </fills>
  <borders count="6">
    <border>
      <left/>
      <right/>
      <top/>
      <bottom/>
      <diagonal/>
    </border>
    <border>
      <left/>
      <right/>
      <top style="medium">
        <color rgb="FF1F4E78"/>
      </top>
      <bottom style="medium">
        <color rgb="FF1F4E78"/>
      </bottom>
      <diagonal/>
    </border>
    <border>
      <left/>
      <right/>
      <top style="thin">
        <color rgb="FFD1D5DB"/>
      </top>
      <bottom style="thin">
        <color rgb="FFD1D5DB"/>
      </bottom>
      <diagonal/>
    </border>
    <border>
      <left/>
      <right/>
      <top/>
      <bottom style="thin">
        <color rgb="FFD1D5DB"/>
      </bottom>
      <diagonal/>
    </border>
    <border>
      <left/>
      <right/>
      <top style="medium">
        <color rgb="FF1F4E78"/>
      </top>
      <bottom style="medium">
        <color rgb="FF1F4E78"/>
      </bottom>
      <diagonal/>
    </border>
    <border>
      <left/>
      <right/>
      <top style="medium">
        <color rgb="FF1F4E78"/>
      </top>
      <bottom style="medium">
        <color rgb="FF1F4E78"/>
      </bottom>
      <diagonal/>
    </border>
  </borders>
  <cellStyleXfs count="1">
    <xf numFmtId="0" fontId="0" fillId="0" borderId="0"/>
  </cellStyleXfs>
  <cellXfs count="31">
    <xf numFmtId="0" fontId="0" fillId="0" borderId="0" xfId="0"/>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0" fillId="0" borderId="3" xfId="0" applyBorder="1"/>
    <xf numFmtId="164" fontId="0" fillId="0" borderId="3" xfId="0" applyNumberFormat="1" applyBorder="1"/>
    <xf numFmtId="0" fontId="5" fillId="8" borderId="3" xfId="0" applyFont="1" applyFill="1" applyBorder="1" applyAlignment="1">
      <alignment horizontal="center"/>
    </xf>
    <xf numFmtId="0" fontId="4" fillId="7" borderId="3" xfId="0" applyFont="1" applyFill="1" applyBorder="1" applyAlignment="1">
      <alignment horizontal="center"/>
    </xf>
    <xf numFmtId="0" fontId="7" fillId="7" borderId="0" xfId="0" applyFont="1" applyFill="1"/>
    <xf numFmtId="0" fontId="0" fillId="7" borderId="0" xfId="0" applyFill="1" applyAlignment="1">
      <alignment horizontal="center"/>
    </xf>
    <xf numFmtId="0" fontId="3" fillId="2" borderId="0" xfId="0" applyFont="1" applyFill="1"/>
    <xf numFmtId="0" fontId="8" fillId="4" borderId="0" xfId="0" applyFont="1" applyFill="1"/>
    <xf numFmtId="0" fontId="0" fillId="4" borderId="0" xfId="0" applyFill="1" applyAlignment="1">
      <alignment horizontal="center"/>
    </xf>
    <xf numFmtId="0" fontId="0" fillId="4" borderId="0" xfId="0" applyFill="1"/>
    <xf numFmtId="0" fontId="8" fillId="7" borderId="0" xfId="0" applyFont="1" applyFill="1"/>
    <xf numFmtId="0" fontId="0" fillId="7" borderId="0" xfId="0" applyFill="1"/>
    <xf numFmtId="0" fontId="4" fillId="0" borderId="0" xfId="0" applyFont="1"/>
    <xf numFmtId="0" fontId="3" fillId="2" borderId="3" xfId="0" applyFont="1" applyFill="1" applyBorder="1"/>
    <xf numFmtId="0" fontId="0" fillId="9" borderId="3" xfId="0" applyFill="1" applyBorder="1" applyAlignment="1">
      <alignment vertical="top" wrapText="1"/>
    </xf>
    <xf numFmtId="0" fontId="0" fillId="10" borderId="3" xfId="0" applyFill="1" applyBorder="1" applyAlignment="1">
      <alignment vertical="top" wrapText="1"/>
    </xf>
    <xf numFmtId="0" fontId="0" fillId="11" borderId="3" xfId="0" applyFill="1" applyBorder="1" applyAlignment="1">
      <alignment vertical="top" wrapText="1"/>
    </xf>
    <xf numFmtId="0" fontId="4" fillId="0" borderId="3" xfId="0" applyFont="1" applyBorder="1"/>
    <xf numFmtId="0" fontId="0" fillId="0" borderId="3" xfId="0" applyBorder="1" applyAlignment="1">
      <alignment wrapText="1"/>
    </xf>
    <xf numFmtId="0" fontId="3" fillId="2" borderId="5" xfId="0" applyFont="1" applyFill="1" applyBorder="1" applyAlignment="1">
      <alignment horizontal="center" vertical="center"/>
    </xf>
    <xf numFmtId="0" fontId="0" fillId="0" borderId="4" xfId="0" applyBorder="1"/>
    <xf numFmtId="0" fontId="3" fillId="2" borderId="1" xfId="0" applyFont="1" applyFill="1" applyBorder="1" applyAlignment="1">
      <alignment horizontal="center" vertical="center"/>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6" fillId="2" borderId="0" xfId="0" applyFont="1" applyFill="1" applyAlignment="1">
      <alignment horizontal="center"/>
    </xf>
  </cellXfs>
  <cellStyles count="1">
    <cellStyle name="Normal" xfId="0" builtinId="0"/>
  </cellStyles>
  <dxfs count="5">
    <dxf>
      <fill>
        <patternFill>
          <bgColor rgb="FFFFF2CC"/>
        </patternFill>
      </fill>
    </dxf>
    <dxf>
      <fill>
        <patternFill>
          <bgColor rgb="FFFDE9E7"/>
        </patternFill>
      </fill>
    </dxf>
    <dxf>
      <fill>
        <patternFill>
          <bgColor rgb="FFE2F0D9"/>
        </patternFill>
      </fill>
    </dxf>
    <dxf>
      <fill>
        <patternFill>
          <bgColor rgb="FFFDE9E7"/>
        </patternFill>
      </fill>
    </dxf>
    <dxf>
      <fill>
        <patternFill>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323850</xdr:colOff>
      <xdr:row>46</xdr:row>
      <xdr:rowOff>171450</xdr:rowOff>
    </xdr:to>
    <xdr:sp macro="" textlink="">
      <xdr:nvSpPr>
        <xdr:cNvPr id="1039" name="Text Box 15" hidden="1">
          <a:extLst>
            <a:ext uri="{FF2B5EF4-FFF2-40B4-BE49-F238E27FC236}">
              <a16:creationId xmlns:a16="http://schemas.microsoft.com/office/drawing/2014/main" id="{6E653039-0465-6D8A-DEBA-7D8A2EEF2AE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
  <sheetViews>
    <sheetView showGridLines="0" tabSelected="1" workbookViewId="0">
      <selection activeCell="O17" sqref="O17"/>
    </sheetView>
  </sheetViews>
  <sheetFormatPr defaultRowHeight="15" x14ac:dyDescent="0.25"/>
  <cols>
    <col min="1" max="1" width="14" customWidth="1"/>
    <col min="2" max="3" width="12" customWidth="1"/>
    <col min="4" max="18" width="10" customWidth="1"/>
    <col min="19" max="19" width="9" customWidth="1"/>
    <col min="20" max="22" width="11" customWidth="1"/>
    <col min="23" max="26" width="10" customWidth="1"/>
    <col min="27" max="27" width="12" customWidth="1"/>
    <col min="28" max="28" width="24" customWidth="1"/>
  </cols>
  <sheetData>
    <row r="1" spans="1:28" ht="24" customHeight="1" x14ac:dyDescent="0.25">
      <c r="A1" s="29" t="s">
        <v>0</v>
      </c>
      <c r="B1" s="28"/>
      <c r="C1" s="28"/>
      <c r="D1" s="28"/>
      <c r="E1" s="28"/>
      <c r="F1" s="28"/>
      <c r="G1" s="28"/>
      <c r="H1" s="28"/>
      <c r="I1" s="28"/>
      <c r="J1" s="28"/>
      <c r="K1" s="28"/>
      <c r="L1" s="28"/>
      <c r="M1" s="28"/>
      <c r="N1" s="28"/>
      <c r="O1" s="28"/>
      <c r="P1" s="28"/>
      <c r="Q1" s="28"/>
      <c r="R1" s="28"/>
      <c r="S1" s="28"/>
      <c r="T1" s="28"/>
      <c r="U1" s="28"/>
      <c r="V1" s="28"/>
      <c r="W1" s="28"/>
      <c r="X1" s="28"/>
      <c r="Y1" s="28"/>
      <c r="Z1" s="28"/>
      <c r="AA1" s="28"/>
    </row>
    <row r="2" spans="1:28" ht="33.950000000000003" customHeight="1" x14ac:dyDescent="0.25">
      <c r="A2" s="27" t="s">
        <v>1</v>
      </c>
      <c r="B2" s="28"/>
      <c r="C2" s="28"/>
      <c r="D2" s="28"/>
      <c r="E2" s="28"/>
      <c r="F2" s="28"/>
      <c r="G2" s="28"/>
      <c r="H2" s="28"/>
      <c r="I2" s="28"/>
      <c r="J2" s="28"/>
      <c r="K2" s="28"/>
      <c r="L2" s="28"/>
      <c r="M2" s="28"/>
      <c r="N2" s="28"/>
      <c r="O2" s="28"/>
      <c r="P2" s="28"/>
      <c r="Q2" s="28"/>
      <c r="R2" s="28"/>
      <c r="S2" s="28"/>
      <c r="T2" s="28"/>
      <c r="U2" s="28"/>
      <c r="V2" s="28"/>
      <c r="W2" s="28"/>
      <c r="X2" s="28"/>
      <c r="Y2" s="28"/>
      <c r="Z2" s="28"/>
      <c r="AA2" s="28"/>
    </row>
    <row r="3" spans="1:28" x14ac:dyDescent="0.25">
      <c r="A3" s="24" t="s">
        <v>2</v>
      </c>
      <c r="B3" s="25"/>
      <c r="C3" s="25"/>
      <c r="D3" s="24" t="s">
        <v>3</v>
      </c>
      <c r="E3" s="25"/>
      <c r="F3" s="25"/>
      <c r="G3" s="25"/>
      <c r="H3" s="25"/>
      <c r="I3" s="25"/>
      <c r="J3" s="25"/>
      <c r="K3" s="25"/>
      <c r="L3" s="25"/>
      <c r="M3" s="25"/>
      <c r="N3" s="25"/>
      <c r="O3" s="25"/>
      <c r="P3" s="25"/>
      <c r="Q3" s="25"/>
      <c r="R3" s="24" t="s">
        <v>4</v>
      </c>
      <c r="S3" s="25"/>
      <c r="T3" s="25"/>
      <c r="U3" s="25"/>
      <c r="V3" s="25"/>
      <c r="W3" s="25"/>
      <c r="X3" s="25"/>
      <c r="Y3" s="25"/>
      <c r="Z3" s="24" t="s">
        <v>5</v>
      </c>
      <c r="AA3" s="25"/>
      <c r="AB3" s="26" t="s">
        <v>6</v>
      </c>
    </row>
    <row r="4" spans="1:28" ht="33.950000000000003" customHeight="1" x14ac:dyDescent="0.25">
      <c r="A4" s="1" t="s">
        <v>7</v>
      </c>
      <c r="B4" s="1" t="s">
        <v>8</v>
      </c>
      <c r="C4" s="1" t="s">
        <v>9</v>
      </c>
      <c r="D4" s="2" t="s">
        <v>10</v>
      </c>
      <c r="E4" s="2" t="s">
        <v>11</v>
      </c>
      <c r="F4" s="2" t="s">
        <v>12</v>
      </c>
      <c r="G4" s="2" t="s">
        <v>13</v>
      </c>
      <c r="H4" s="2" t="s">
        <v>14</v>
      </c>
      <c r="I4" s="2" t="s">
        <v>15</v>
      </c>
      <c r="J4" s="2" t="s">
        <v>16</v>
      </c>
      <c r="K4" s="2" t="s">
        <v>17</v>
      </c>
      <c r="L4" s="2" t="s">
        <v>18</v>
      </c>
      <c r="M4" s="2" t="s">
        <v>19</v>
      </c>
      <c r="N4" s="2" t="s">
        <v>20</v>
      </c>
      <c r="O4" s="2" t="s">
        <v>21</v>
      </c>
      <c r="P4" s="2" t="s">
        <v>22</v>
      </c>
      <c r="Q4" s="2" t="s">
        <v>23</v>
      </c>
      <c r="R4" s="3" t="s">
        <v>24</v>
      </c>
      <c r="S4" s="3" t="s">
        <v>25</v>
      </c>
      <c r="T4" s="3" t="s">
        <v>26</v>
      </c>
      <c r="U4" s="3" t="s">
        <v>27</v>
      </c>
      <c r="V4" s="3" t="s">
        <v>28</v>
      </c>
      <c r="W4" s="3" t="s">
        <v>29</v>
      </c>
      <c r="X4" s="3" t="s">
        <v>30</v>
      </c>
      <c r="Y4" s="3" t="s">
        <v>31</v>
      </c>
      <c r="Z4" s="4" t="s">
        <v>32</v>
      </c>
      <c r="AA4" s="4" t="s">
        <v>33</v>
      </c>
      <c r="AB4" s="1" t="s">
        <v>34</v>
      </c>
    </row>
    <row r="5" spans="1:28" x14ac:dyDescent="0.25">
      <c r="A5" s="5" t="s">
        <v>35</v>
      </c>
      <c r="B5" s="5"/>
      <c r="C5" s="6"/>
      <c r="D5" s="7"/>
      <c r="E5" s="7"/>
      <c r="F5" s="7"/>
      <c r="G5" s="7"/>
      <c r="H5" s="7"/>
      <c r="I5" s="7"/>
      <c r="J5" s="7"/>
      <c r="K5" s="7"/>
      <c r="L5" s="7"/>
      <c r="M5" s="7"/>
      <c r="N5" s="7"/>
      <c r="O5" s="7"/>
      <c r="P5" s="7"/>
      <c r="Q5" s="7"/>
      <c r="R5" s="7" t="s">
        <v>36</v>
      </c>
      <c r="S5" s="7" t="s">
        <v>36</v>
      </c>
      <c r="T5" s="7" t="s">
        <v>36</v>
      </c>
      <c r="U5" s="7" t="s">
        <v>36</v>
      </c>
      <c r="V5" s="7" t="s">
        <v>36</v>
      </c>
      <c r="W5" s="7" t="s">
        <v>36</v>
      </c>
      <c r="X5" s="7" t="s">
        <v>36</v>
      </c>
      <c r="Y5" s="7" t="s">
        <v>36</v>
      </c>
      <c r="Z5" s="8" t="e">
        <f t="shared" ref="Z5:Z14" si="0">SUM(IF(D5="","",VALUE(LEFT(D5,1))),IF(E5="","",VALUE(LEFT(E5,1))),IF(F5="","",VALUE(LEFT(F5,1))),IF(G5="","",VALUE(LEFT(G5,1))),IF(H5="","",VALUE(LEFT(H5,1))),IF(I5="","",VALUE(LEFT(I5,1))),IF(J5="","",VALUE(LEFT(J5,1))),IF(K5="","",VALUE(LEFT(K5,1))),IF(L5="","",VALUE(LEFT(L5,1))),IF(M5="","",VALUE(LEFT(M5,1))),IF(N5="","",VALUE(LEFT(N5,1))),IF(O5="","",VALUE(LEFT(O5,1))),IF(P5="","",VALUE(LEFT(P5,1))),IF(Q5="","",VALUE(LEFT(Q5,1))))</f>
        <v>#VALUE!</v>
      </c>
      <c r="AA5" s="8" t="str">
        <f t="shared" ref="AA5:AA14" si="1">IF(COUNTBLANK(A5:C5)+COUNTBLANK(D5:Q5)&gt;0,"REVIEW",IF(COUNTIF(D5:Q5,"&lt;&gt;0/0")+COUNTIF(R5:Y5,"Present")&gt;0,"EXCLUDE","PASS"))</f>
        <v>REVIEW</v>
      </c>
      <c r="AB5" s="5"/>
    </row>
    <row r="6" spans="1:28" x14ac:dyDescent="0.25">
      <c r="A6" s="5" t="s">
        <v>37</v>
      </c>
      <c r="B6" s="5"/>
      <c r="C6" s="6"/>
      <c r="D6" s="7"/>
      <c r="E6" s="7"/>
      <c r="F6" s="7"/>
      <c r="G6" s="7"/>
      <c r="H6" s="7"/>
      <c r="I6" s="7"/>
      <c r="J6" s="7"/>
      <c r="K6" s="7"/>
      <c r="L6" s="7"/>
      <c r="M6" s="7"/>
      <c r="N6" s="7"/>
      <c r="O6" s="7"/>
      <c r="P6" s="7"/>
      <c r="Q6" s="7"/>
      <c r="R6" s="7" t="s">
        <v>36</v>
      </c>
      <c r="S6" s="7" t="s">
        <v>36</v>
      </c>
      <c r="T6" s="7" t="s">
        <v>36</v>
      </c>
      <c r="U6" s="7" t="s">
        <v>36</v>
      </c>
      <c r="V6" s="7" t="s">
        <v>36</v>
      </c>
      <c r="W6" s="7" t="s">
        <v>36</v>
      </c>
      <c r="X6" s="7" t="s">
        <v>36</v>
      </c>
      <c r="Y6" s="7" t="s">
        <v>36</v>
      </c>
      <c r="Z6" s="8" t="e">
        <f t="shared" si="0"/>
        <v>#VALUE!</v>
      </c>
      <c r="AA6" s="8" t="str">
        <f t="shared" si="1"/>
        <v>REVIEW</v>
      </c>
      <c r="AB6" s="5"/>
    </row>
    <row r="7" spans="1:28" x14ac:dyDescent="0.25">
      <c r="A7" s="5" t="s">
        <v>38</v>
      </c>
      <c r="B7" s="5"/>
      <c r="C7" s="6"/>
      <c r="D7" s="7"/>
      <c r="E7" s="7"/>
      <c r="F7" s="7"/>
      <c r="G7" s="7"/>
      <c r="H7" s="7"/>
      <c r="I7" s="7"/>
      <c r="J7" s="7"/>
      <c r="K7" s="7"/>
      <c r="L7" s="7"/>
      <c r="M7" s="7"/>
      <c r="N7" s="7"/>
      <c r="O7" s="7"/>
      <c r="P7" s="7"/>
      <c r="Q7" s="7"/>
      <c r="R7" s="7" t="s">
        <v>36</v>
      </c>
      <c r="S7" s="7" t="s">
        <v>36</v>
      </c>
      <c r="T7" s="7" t="s">
        <v>36</v>
      </c>
      <c r="U7" s="7" t="s">
        <v>36</v>
      </c>
      <c r="V7" s="7" t="s">
        <v>36</v>
      </c>
      <c r="W7" s="7" t="s">
        <v>36</v>
      </c>
      <c r="X7" s="7" t="s">
        <v>36</v>
      </c>
      <c r="Y7" s="7" t="s">
        <v>36</v>
      </c>
      <c r="Z7" s="8" t="e">
        <f t="shared" si="0"/>
        <v>#VALUE!</v>
      </c>
      <c r="AA7" s="8" t="str">
        <f t="shared" si="1"/>
        <v>REVIEW</v>
      </c>
      <c r="AB7" s="5"/>
    </row>
    <row r="8" spans="1:28" x14ac:dyDescent="0.25">
      <c r="A8" s="5" t="s">
        <v>39</v>
      </c>
      <c r="B8" s="5"/>
      <c r="C8" s="6"/>
      <c r="D8" s="7"/>
      <c r="E8" s="7"/>
      <c r="F8" s="7"/>
      <c r="G8" s="7"/>
      <c r="H8" s="7"/>
      <c r="I8" s="7"/>
      <c r="J8" s="7"/>
      <c r="K8" s="7"/>
      <c r="L8" s="7"/>
      <c r="M8" s="7"/>
      <c r="N8" s="7"/>
      <c r="O8" s="7"/>
      <c r="P8" s="7"/>
      <c r="Q8" s="7"/>
      <c r="R8" s="7" t="s">
        <v>36</v>
      </c>
      <c r="S8" s="7" t="s">
        <v>36</v>
      </c>
      <c r="T8" s="7" t="s">
        <v>36</v>
      </c>
      <c r="U8" s="7" t="s">
        <v>36</v>
      </c>
      <c r="V8" s="7" t="s">
        <v>36</v>
      </c>
      <c r="W8" s="7" t="s">
        <v>36</v>
      </c>
      <c r="X8" s="7" t="s">
        <v>36</v>
      </c>
      <c r="Y8" s="7" t="s">
        <v>36</v>
      </c>
      <c r="Z8" s="8" t="e">
        <f t="shared" si="0"/>
        <v>#VALUE!</v>
      </c>
      <c r="AA8" s="8" t="str">
        <f t="shared" si="1"/>
        <v>REVIEW</v>
      </c>
      <c r="AB8" s="5"/>
    </row>
    <row r="9" spans="1:28" x14ac:dyDescent="0.25">
      <c r="A9" s="5" t="s">
        <v>40</v>
      </c>
      <c r="B9" s="5"/>
      <c r="C9" s="6"/>
      <c r="D9" s="7"/>
      <c r="E9" s="7"/>
      <c r="F9" s="7"/>
      <c r="G9" s="7"/>
      <c r="H9" s="7"/>
      <c r="I9" s="7"/>
      <c r="J9" s="7"/>
      <c r="K9" s="7"/>
      <c r="L9" s="7"/>
      <c r="M9" s="7"/>
      <c r="N9" s="7"/>
      <c r="O9" s="7"/>
      <c r="P9" s="7"/>
      <c r="Q9" s="7"/>
      <c r="R9" s="7" t="s">
        <v>36</v>
      </c>
      <c r="S9" s="7" t="s">
        <v>36</v>
      </c>
      <c r="T9" s="7" t="s">
        <v>36</v>
      </c>
      <c r="U9" s="7" t="s">
        <v>36</v>
      </c>
      <c r="V9" s="7" t="s">
        <v>36</v>
      </c>
      <c r="W9" s="7" t="s">
        <v>36</v>
      </c>
      <c r="X9" s="7" t="s">
        <v>36</v>
      </c>
      <c r="Y9" s="7" t="s">
        <v>36</v>
      </c>
      <c r="Z9" s="8" t="e">
        <f t="shared" si="0"/>
        <v>#VALUE!</v>
      </c>
      <c r="AA9" s="8" t="str">
        <f t="shared" si="1"/>
        <v>REVIEW</v>
      </c>
      <c r="AB9" s="5"/>
    </row>
    <row r="10" spans="1:28" x14ac:dyDescent="0.25">
      <c r="A10" s="5" t="s">
        <v>41</v>
      </c>
      <c r="B10" s="5"/>
      <c r="C10" s="6"/>
      <c r="D10" s="7"/>
      <c r="E10" s="7"/>
      <c r="F10" s="7"/>
      <c r="G10" s="7"/>
      <c r="H10" s="7"/>
      <c r="I10" s="7"/>
      <c r="J10" s="7"/>
      <c r="K10" s="7"/>
      <c r="L10" s="7"/>
      <c r="M10" s="7"/>
      <c r="N10" s="7"/>
      <c r="O10" s="7"/>
      <c r="P10" s="7"/>
      <c r="Q10" s="7"/>
      <c r="R10" s="7" t="s">
        <v>36</v>
      </c>
      <c r="S10" s="7" t="s">
        <v>36</v>
      </c>
      <c r="T10" s="7" t="s">
        <v>36</v>
      </c>
      <c r="U10" s="7" t="s">
        <v>36</v>
      </c>
      <c r="V10" s="7" t="s">
        <v>36</v>
      </c>
      <c r="W10" s="7" t="s">
        <v>36</v>
      </c>
      <c r="X10" s="7" t="s">
        <v>36</v>
      </c>
      <c r="Y10" s="7" t="s">
        <v>36</v>
      </c>
      <c r="Z10" s="8" t="e">
        <f t="shared" si="0"/>
        <v>#VALUE!</v>
      </c>
      <c r="AA10" s="8" t="str">
        <f t="shared" si="1"/>
        <v>REVIEW</v>
      </c>
      <c r="AB10" s="5"/>
    </row>
    <row r="11" spans="1:28" x14ac:dyDescent="0.25">
      <c r="A11" s="5" t="s">
        <v>42</v>
      </c>
      <c r="B11" s="5"/>
      <c r="C11" s="6"/>
      <c r="D11" s="7"/>
      <c r="E11" s="7"/>
      <c r="F11" s="7"/>
      <c r="G11" s="7"/>
      <c r="H11" s="7"/>
      <c r="I11" s="7"/>
      <c r="J11" s="7"/>
      <c r="K11" s="7"/>
      <c r="L11" s="7"/>
      <c r="M11" s="7"/>
      <c r="N11" s="7"/>
      <c r="O11" s="7"/>
      <c r="P11" s="7"/>
      <c r="Q11" s="7"/>
      <c r="R11" s="7" t="s">
        <v>36</v>
      </c>
      <c r="S11" s="7" t="s">
        <v>36</v>
      </c>
      <c r="T11" s="7" t="s">
        <v>36</v>
      </c>
      <c r="U11" s="7" t="s">
        <v>36</v>
      </c>
      <c r="V11" s="7" t="s">
        <v>36</v>
      </c>
      <c r="W11" s="7" t="s">
        <v>36</v>
      </c>
      <c r="X11" s="7" t="s">
        <v>36</v>
      </c>
      <c r="Y11" s="7" t="s">
        <v>36</v>
      </c>
      <c r="Z11" s="8" t="e">
        <f t="shared" si="0"/>
        <v>#VALUE!</v>
      </c>
      <c r="AA11" s="8" t="str">
        <f t="shared" si="1"/>
        <v>REVIEW</v>
      </c>
      <c r="AB11" s="5"/>
    </row>
    <row r="12" spans="1:28" x14ac:dyDescent="0.25">
      <c r="A12" s="5" t="s">
        <v>43</v>
      </c>
      <c r="B12" s="5"/>
      <c r="C12" s="6"/>
      <c r="D12" s="7"/>
      <c r="E12" s="7"/>
      <c r="F12" s="7"/>
      <c r="G12" s="7"/>
      <c r="H12" s="7"/>
      <c r="I12" s="7"/>
      <c r="J12" s="7"/>
      <c r="K12" s="7"/>
      <c r="L12" s="7"/>
      <c r="M12" s="7"/>
      <c r="N12" s="7"/>
      <c r="O12" s="7"/>
      <c r="P12" s="7"/>
      <c r="Q12" s="7"/>
      <c r="R12" s="7" t="s">
        <v>36</v>
      </c>
      <c r="S12" s="7" t="s">
        <v>36</v>
      </c>
      <c r="T12" s="7" t="s">
        <v>36</v>
      </c>
      <c r="U12" s="7" t="s">
        <v>36</v>
      </c>
      <c r="V12" s="7" t="s">
        <v>36</v>
      </c>
      <c r="W12" s="7" t="s">
        <v>36</v>
      </c>
      <c r="X12" s="7" t="s">
        <v>36</v>
      </c>
      <c r="Y12" s="7" t="s">
        <v>36</v>
      </c>
      <c r="Z12" s="8" t="e">
        <f t="shared" si="0"/>
        <v>#VALUE!</v>
      </c>
      <c r="AA12" s="8" t="str">
        <f t="shared" si="1"/>
        <v>REVIEW</v>
      </c>
      <c r="AB12" s="5"/>
    </row>
    <row r="13" spans="1:28" x14ac:dyDescent="0.25">
      <c r="A13" s="5" t="s">
        <v>44</v>
      </c>
      <c r="B13" s="5"/>
      <c r="C13" s="6"/>
      <c r="D13" s="7"/>
      <c r="E13" s="7"/>
      <c r="F13" s="7"/>
      <c r="G13" s="7"/>
      <c r="H13" s="7"/>
      <c r="I13" s="7"/>
      <c r="J13" s="7"/>
      <c r="K13" s="7"/>
      <c r="L13" s="7"/>
      <c r="M13" s="7"/>
      <c r="N13" s="7"/>
      <c r="O13" s="7"/>
      <c r="P13" s="7"/>
      <c r="Q13" s="7"/>
      <c r="R13" s="7" t="s">
        <v>36</v>
      </c>
      <c r="S13" s="7" t="s">
        <v>36</v>
      </c>
      <c r="T13" s="7" t="s">
        <v>36</v>
      </c>
      <c r="U13" s="7" t="s">
        <v>36</v>
      </c>
      <c r="V13" s="7" t="s">
        <v>36</v>
      </c>
      <c r="W13" s="7" t="s">
        <v>36</v>
      </c>
      <c r="X13" s="7" t="s">
        <v>36</v>
      </c>
      <c r="Y13" s="7" t="s">
        <v>36</v>
      </c>
      <c r="Z13" s="8" t="e">
        <f t="shared" si="0"/>
        <v>#VALUE!</v>
      </c>
      <c r="AA13" s="8" t="str">
        <f t="shared" si="1"/>
        <v>REVIEW</v>
      </c>
      <c r="AB13" s="5"/>
    </row>
    <row r="14" spans="1:28" x14ac:dyDescent="0.25">
      <c r="A14" s="5" t="s">
        <v>45</v>
      </c>
      <c r="B14" s="5"/>
      <c r="C14" s="6"/>
      <c r="D14" s="7"/>
      <c r="E14" s="7"/>
      <c r="F14" s="7"/>
      <c r="G14" s="7"/>
      <c r="H14" s="7"/>
      <c r="I14" s="7"/>
      <c r="J14" s="7"/>
      <c r="K14" s="7"/>
      <c r="L14" s="7"/>
      <c r="M14" s="7"/>
      <c r="N14" s="7"/>
      <c r="O14" s="7"/>
      <c r="P14" s="7"/>
      <c r="Q14" s="7"/>
      <c r="R14" s="7" t="s">
        <v>36</v>
      </c>
      <c r="S14" s="7" t="s">
        <v>36</v>
      </c>
      <c r="T14" s="7" t="s">
        <v>36</v>
      </c>
      <c r="U14" s="7" t="s">
        <v>36</v>
      </c>
      <c r="V14" s="7" t="s">
        <v>36</v>
      </c>
      <c r="W14" s="7" t="s">
        <v>36</v>
      </c>
      <c r="X14" s="7" t="s">
        <v>36</v>
      </c>
      <c r="Y14" s="7" t="s">
        <v>36</v>
      </c>
      <c r="Z14" s="8" t="e">
        <f t="shared" si="0"/>
        <v>#VALUE!</v>
      </c>
      <c r="AA14" s="8" t="str">
        <f t="shared" si="1"/>
        <v>REVIEW</v>
      </c>
      <c r="AB14" s="5"/>
    </row>
  </sheetData>
  <mergeCells count="7">
    <mergeCell ref="A1:AA1"/>
    <mergeCell ref="Z3:AA3"/>
    <mergeCell ref="D3:Q3"/>
    <mergeCell ref="AB3"/>
    <mergeCell ref="A2:AA2"/>
    <mergeCell ref="A3:C3"/>
    <mergeCell ref="R3:Y3"/>
  </mergeCells>
  <conditionalFormatting sqref="D5:Q14">
    <cfRule type="expression" dxfId="4" priority="1">
      <formula>AND(D5&lt;&gt;"",D5&lt;&gt;"0/0")</formula>
    </cfRule>
  </conditionalFormatting>
  <conditionalFormatting sqref="R5:Y14">
    <cfRule type="cellIs" dxfId="3" priority="15" operator="equal">
      <formula>"Present"</formula>
    </cfRule>
  </conditionalFormatting>
  <conditionalFormatting sqref="AA5:AA14">
    <cfRule type="cellIs" dxfId="2" priority="23" operator="equal">
      <formula>"PASS"</formula>
    </cfRule>
    <cfRule type="cellIs" dxfId="1" priority="24" operator="equal">
      <formula>"EXCLUDE"</formula>
    </cfRule>
    <cfRule type="cellIs" dxfId="0" priority="25" operator="equal">
      <formula>"REVIEW"</formula>
    </cfRule>
  </conditionalFormatting>
  <dataValidations count="2">
    <dataValidation type="list" allowBlank="1" sqref="D5 D6 D7 D8 D9 D10 D11 D12 D13 D14 E5 E6 E7 E8 E9 E10 E11 E12 E13 E14 F5 F6 F7 F8 F9 F10 F11 F12 F13 F14 G5 G6 G7 G8 G9 G10 G11 G12 G13 G14 H5 H6 H7 H8 H9 H10 H11 H12 H13 H14 I5 I6 I7 I8 I9 I10 I11 I12 I13 I14 J5 J6 J7 J8 J9 J10 J11 J12 J13 J14 K5 K6 K7 K8 K9 K10 K11 K12 K13 K14 L5 L6 L7 L8 L9 L10 L11 L12 L13 L14 M5 M6 M7 M8 M9 M10 M11 M12 M13 M14 N5 N6 N7 N8 N9 N10 N11 N12 N13 N14 O5 O6 O7 O8 O9 O10 O11 O12 O13 O14 P5 P6 P7 P8 P9 P10 P11 P12 P13 P14 Q5 Q6 Q7 Q8 Q9 Q10 Q11 Q12 Q13 Q14" xr:uid="{00000000-0002-0000-0000-000000000000}">
      <formula1>"0/0,1/0,1/1,2/0,2/1,2/2,3/0,3/1,3/2,3/3"</formula1>
    </dataValidation>
    <dataValidation type="list" allowBlank="1" sqref="R5 R6 R7 R8 R9 R10 R11 R12 R13 R14 S5 S6 S7 S8 S9 S10 S11 S12 S13 S14 T5 T6 T7 T8 T9 T10 T11 T12 T13 T14 U5 U6 U7 U8 U9 U10 U11 U12 U13 U14 V5 V6 V7 V8 V9 V10 V11 V12 V13 V14 W5 W6 W7 W8 W9 W10 W11 W12 W13 W14 X5 X6 X7 X8 X9 X10 X11 X12 X13 X14 Y5 Y6 Y7 Y8 Y9 Y10 Y11 Y12 Y13 Y14" xr:uid="{00000000-0002-0000-0000-000001000000}">
      <formula1>"Normal,Present"</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workbookViewId="0">
      <selection activeCell="B3" sqref="B3"/>
    </sheetView>
  </sheetViews>
  <sheetFormatPr defaultRowHeight="15" x14ac:dyDescent="0.25"/>
  <cols>
    <col min="1" max="1" width="20" customWidth="1"/>
    <col min="2" max="2" width="16" customWidth="1"/>
    <col min="4" max="4" width="20" customWidth="1"/>
    <col min="5" max="5" width="16" customWidth="1"/>
  </cols>
  <sheetData>
    <row r="1" spans="1:6" ht="24" customHeight="1" x14ac:dyDescent="0.3">
      <c r="A1" s="30" t="s">
        <v>46</v>
      </c>
      <c r="B1" s="28"/>
      <c r="C1" s="28"/>
      <c r="D1" s="28"/>
      <c r="E1" s="28"/>
      <c r="F1" s="28"/>
    </row>
    <row r="3" spans="1:6" x14ac:dyDescent="0.25">
      <c r="A3" s="9" t="s">
        <v>47</v>
      </c>
      <c r="B3" s="10">
        <f>COUNTA(Screening!A5:A14)</f>
        <v>10</v>
      </c>
      <c r="D3" s="11" t="s">
        <v>48</v>
      </c>
      <c r="E3" s="11" t="s">
        <v>49</v>
      </c>
    </row>
    <row r="4" spans="1:6" x14ac:dyDescent="0.25">
      <c r="A4" s="12" t="s">
        <v>50</v>
      </c>
      <c r="B4" s="13">
        <f>COUNTIF(Screening!AA5:AA14,"PASS")</f>
        <v>0</v>
      </c>
      <c r="D4" s="14" t="s">
        <v>10</v>
      </c>
      <c r="E4" s="13">
        <f>COUNTIF(Screening!D5:D14,"&lt;&gt;0/0")-COUNTBLANK(Screening!D5:D14)</f>
        <v>0</v>
      </c>
    </row>
    <row r="5" spans="1:6" x14ac:dyDescent="0.25">
      <c r="A5" s="15" t="s">
        <v>51</v>
      </c>
      <c r="B5" s="10">
        <f>COUNTIF(Screening!AA5:AA14,"EXCLUDE")</f>
        <v>0</v>
      </c>
      <c r="D5" s="16" t="s">
        <v>11</v>
      </c>
      <c r="E5" s="10">
        <f>COUNTIF(Screening!E5:E14,"&lt;&gt;0/0")-COUNTBLANK(Screening!E5:E14)</f>
        <v>0</v>
      </c>
    </row>
    <row r="6" spans="1:6" x14ac:dyDescent="0.25">
      <c r="A6" s="12" t="s">
        <v>52</v>
      </c>
      <c r="B6" s="13">
        <f>COUNTIF(Screening!AA5:AA14,"REVIEW")</f>
        <v>10</v>
      </c>
      <c r="D6" s="14" t="s">
        <v>12</v>
      </c>
      <c r="E6" s="13">
        <f>COUNTIF(Screening!F5:F14,"&lt;&gt;0/0")-COUNTBLANK(Screening!F5:F14)</f>
        <v>0</v>
      </c>
    </row>
    <row r="7" spans="1:6" x14ac:dyDescent="0.25">
      <c r="A7" s="15" t="s">
        <v>53</v>
      </c>
      <c r="B7" s="10" t="str">
        <f>IFERROR(AVERAGEIF(Screening!Z5:Z14,"&gt;0"),"")</f>
        <v/>
      </c>
      <c r="D7" s="16" t="s">
        <v>13</v>
      </c>
      <c r="E7" s="10">
        <f>COUNTIF(Screening!G5:G14,"&lt;&gt;0/0")-COUNTBLANK(Screening!G5:G14)</f>
        <v>0</v>
      </c>
    </row>
    <row r="8" spans="1:6" x14ac:dyDescent="0.25">
      <c r="D8" s="14" t="s">
        <v>14</v>
      </c>
      <c r="E8" s="13">
        <f>COUNTIF(Screening!H5:H14,"&lt;&gt;0/0")-COUNTBLANK(Screening!H5:H14)</f>
        <v>0</v>
      </c>
    </row>
    <row r="9" spans="1:6" x14ac:dyDescent="0.25">
      <c r="D9" s="16" t="s">
        <v>15</v>
      </c>
      <c r="E9" s="10">
        <f>COUNTIF(Screening!I5:I14,"&lt;&gt;0/0")-COUNTBLANK(Screening!I5:I14)</f>
        <v>0</v>
      </c>
    </row>
    <row r="10" spans="1:6" x14ac:dyDescent="0.25">
      <c r="D10" s="14" t="s">
        <v>16</v>
      </c>
      <c r="E10" s="13">
        <f>COUNTIF(Screening!J5:J14,"&lt;&gt;0/0")-COUNTBLANK(Screening!J5:J14)</f>
        <v>0</v>
      </c>
    </row>
    <row r="11" spans="1:6" x14ac:dyDescent="0.25">
      <c r="D11" s="16" t="s">
        <v>17</v>
      </c>
      <c r="E11" s="10">
        <f>COUNTIF(Screening!K5:K14,"&lt;&gt;0/0")-COUNTBLANK(Screening!K5:K14)</f>
        <v>0</v>
      </c>
    </row>
    <row r="12" spans="1:6" x14ac:dyDescent="0.25">
      <c r="D12" s="14" t="s">
        <v>18</v>
      </c>
      <c r="E12" s="13">
        <f>COUNTIF(Screening!L5:L14,"&lt;&gt;0/0")-COUNTBLANK(Screening!L5:L14)</f>
        <v>0</v>
      </c>
    </row>
    <row r="13" spans="1:6" x14ac:dyDescent="0.25">
      <c r="D13" s="16" t="s">
        <v>19</v>
      </c>
      <c r="E13" s="10">
        <f>COUNTIF(Screening!M5:M14,"&lt;&gt;0/0")-COUNTBLANK(Screening!M5:M14)</f>
        <v>0</v>
      </c>
    </row>
    <row r="14" spans="1:6" x14ac:dyDescent="0.25">
      <c r="D14" s="14" t="s">
        <v>20</v>
      </c>
      <c r="E14" s="13">
        <f>COUNTIF(Screening!N5:N14,"&lt;&gt;0/0")-COUNTBLANK(Screening!N5:N14)</f>
        <v>0</v>
      </c>
    </row>
    <row r="15" spans="1:6" x14ac:dyDescent="0.25">
      <c r="D15" s="16" t="s">
        <v>21</v>
      </c>
      <c r="E15" s="10">
        <f>COUNTIF(Screening!O5:O14,"&lt;&gt;0/0")-COUNTBLANK(Screening!O5:O14)</f>
        <v>0</v>
      </c>
    </row>
    <row r="16" spans="1:6" x14ac:dyDescent="0.25">
      <c r="D16" s="14" t="s">
        <v>22</v>
      </c>
      <c r="E16" s="13">
        <f>COUNTIF(Screening!P5:P14,"&lt;&gt;0/0")-COUNTBLANK(Screening!P5:P14)</f>
        <v>0</v>
      </c>
    </row>
    <row r="17" spans="4:5" x14ac:dyDescent="0.25">
      <c r="D17" s="16" t="s">
        <v>23</v>
      </c>
      <c r="E17" s="10">
        <f>COUNTIF(Screening!Q5:Q14,"&lt;&gt;0/0")-COUNTBLANK(Screening!Q5:Q14)</f>
        <v>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
  <sheetViews>
    <sheetView showGridLines="0" topLeftCell="A3" workbookViewId="0">
      <selection sqref="A1:D1"/>
    </sheetView>
  </sheetViews>
  <sheetFormatPr defaultRowHeight="15" x14ac:dyDescent="0.25"/>
  <cols>
    <col min="1" max="1" width="14" customWidth="1"/>
    <col min="2" max="2" width="46" customWidth="1"/>
    <col min="3" max="3" width="32" customWidth="1"/>
    <col min="4" max="4" width="46" customWidth="1"/>
  </cols>
  <sheetData>
    <row r="1" spans="1:4" ht="24" customHeight="1" x14ac:dyDescent="0.3">
      <c r="A1" s="30" t="s">
        <v>54</v>
      </c>
      <c r="B1" s="28"/>
      <c r="C1" s="28"/>
      <c r="D1" s="28"/>
    </row>
    <row r="3" spans="1:4" x14ac:dyDescent="0.25">
      <c r="A3" s="17" t="s">
        <v>55</v>
      </c>
      <c r="D3" s="18" t="s">
        <v>56</v>
      </c>
    </row>
    <row r="4" spans="1:4" ht="42" customHeight="1" x14ac:dyDescent="0.25">
      <c r="A4" s="18" t="s">
        <v>57</v>
      </c>
      <c r="B4" s="18" t="s">
        <v>58</v>
      </c>
      <c r="D4" s="19" t="s">
        <v>59</v>
      </c>
    </row>
    <row r="5" spans="1:4" ht="42" customHeight="1" x14ac:dyDescent="0.25">
      <c r="A5" s="5" t="s">
        <v>60</v>
      </c>
      <c r="B5" s="23" t="s">
        <v>61</v>
      </c>
      <c r="D5" s="20" t="s">
        <v>62</v>
      </c>
    </row>
    <row r="6" spans="1:4" ht="42" customHeight="1" x14ac:dyDescent="0.25">
      <c r="A6" s="5" t="s">
        <v>63</v>
      </c>
      <c r="B6" s="23" t="s">
        <v>64</v>
      </c>
      <c r="D6" s="21" t="s">
        <v>65</v>
      </c>
    </row>
    <row r="7" spans="1:4" ht="21.95" customHeight="1" x14ac:dyDescent="0.25">
      <c r="A7" s="5" t="s">
        <v>66</v>
      </c>
      <c r="B7" s="23" t="s">
        <v>67</v>
      </c>
    </row>
    <row r="8" spans="1:4" x14ac:dyDescent="0.25">
      <c r="A8" s="5" t="s">
        <v>68</v>
      </c>
      <c r="B8" s="23" t="s">
        <v>69</v>
      </c>
    </row>
    <row r="9" spans="1:4" ht="30" x14ac:dyDescent="0.25">
      <c r="A9" s="5" t="s">
        <v>70</v>
      </c>
      <c r="B9" s="23" t="s">
        <v>71</v>
      </c>
    </row>
    <row r="10" spans="1:4" ht="30" x14ac:dyDescent="0.25">
      <c r="A10" s="5" t="s">
        <v>72</v>
      </c>
      <c r="B10" s="23" t="s">
        <v>73</v>
      </c>
    </row>
    <row r="11" spans="1:4" x14ac:dyDescent="0.25">
      <c r="A11" s="5" t="s">
        <v>74</v>
      </c>
      <c r="B11" s="23" t="s">
        <v>75</v>
      </c>
    </row>
    <row r="12" spans="1:4" ht="30" x14ac:dyDescent="0.25">
      <c r="A12" s="5" t="s">
        <v>76</v>
      </c>
      <c r="B12" s="23" t="s">
        <v>77</v>
      </c>
    </row>
    <row r="13" spans="1:4" ht="30" x14ac:dyDescent="0.25">
      <c r="A13" s="5" t="s">
        <v>78</v>
      </c>
      <c r="B13" s="23" t="s">
        <v>79</v>
      </c>
    </row>
    <row r="14" spans="1:4" ht="21.95" customHeight="1" x14ac:dyDescent="0.25">
      <c r="A14" s="5" t="s">
        <v>80</v>
      </c>
      <c r="B14" s="23" t="s">
        <v>81</v>
      </c>
    </row>
    <row r="17" spans="1:3" x14ac:dyDescent="0.25">
      <c r="A17" s="22" t="s">
        <v>82</v>
      </c>
    </row>
    <row r="18" spans="1:3" x14ac:dyDescent="0.25">
      <c r="A18" s="18" t="s">
        <v>83</v>
      </c>
      <c r="B18" s="18" t="s">
        <v>84</v>
      </c>
      <c r="C18" s="18" t="s">
        <v>58</v>
      </c>
    </row>
    <row r="19" spans="1:3" ht="30" x14ac:dyDescent="0.25">
      <c r="A19" s="5" t="s">
        <v>24</v>
      </c>
      <c r="B19" s="5" t="s">
        <v>85</v>
      </c>
      <c r="C19" s="23" t="s">
        <v>86</v>
      </c>
    </row>
    <row r="20" spans="1:3" ht="30" x14ac:dyDescent="0.25">
      <c r="A20" s="5" t="s">
        <v>25</v>
      </c>
      <c r="B20" s="5" t="s">
        <v>85</v>
      </c>
      <c r="C20" s="23" t="s">
        <v>87</v>
      </c>
    </row>
    <row r="21" spans="1:3" ht="30" x14ac:dyDescent="0.25">
      <c r="A21" s="5" t="s">
        <v>26</v>
      </c>
      <c r="B21" s="5" t="s">
        <v>85</v>
      </c>
      <c r="C21" s="23" t="s">
        <v>88</v>
      </c>
    </row>
    <row r="22" spans="1:3" x14ac:dyDescent="0.25">
      <c r="A22" s="5" t="s">
        <v>27</v>
      </c>
      <c r="B22" s="5" t="s">
        <v>85</v>
      </c>
      <c r="C22" s="23" t="s">
        <v>89</v>
      </c>
    </row>
    <row r="23" spans="1:3" ht="21.95" customHeight="1" x14ac:dyDescent="0.25">
      <c r="A23" s="5" t="s">
        <v>28</v>
      </c>
      <c r="B23" s="5" t="s">
        <v>85</v>
      </c>
      <c r="C23" s="23" t="s">
        <v>90</v>
      </c>
    </row>
    <row r="24" spans="1:3" ht="21.95" customHeight="1" x14ac:dyDescent="0.25">
      <c r="A24" s="5" t="s">
        <v>29</v>
      </c>
      <c r="B24" s="5" t="s">
        <v>85</v>
      </c>
      <c r="C24" s="23" t="s">
        <v>91</v>
      </c>
    </row>
    <row r="25" spans="1:3" ht="21.95" customHeight="1" x14ac:dyDescent="0.25">
      <c r="A25" s="5" t="s">
        <v>30</v>
      </c>
      <c r="B25" s="5" t="s">
        <v>85</v>
      </c>
      <c r="C25" s="23" t="s">
        <v>92</v>
      </c>
    </row>
    <row r="26" spans="1:3" ht="30" x14ac:dyDescent="0.25">
      <c r="A26" s="5" t="s">
        <v>31</v>
      </c>
      <c r="B26" s="5" t="s">
        <v>85</v>
      </c>
      <c r="C26" s="23" t="s">
        <v>93</v>
      </c>
    </row>
    <row r="29" spans="1:3" x14ac:dyDescent="0.25">
      <c r="A29" s="22" t="s">
        <v>94</v>
      </c>
    </row>
    <row r="30" spans="1:3" x14ac:dyDescent="0.25">
      <c r="A30" s="18" t="s">
        <v>95</v>
      </c>
      <c r="B30" s="18" t="s">
        <v>48</v>
      </c>
    </row>
    <row r="31" spans="1:3" x14ac:dyDescent="0.25">
      <c r="A31" s="5" t="s">
        <v>10</v>
      </c>
      <c r="B31" s="5" t="s">
        <v>96</v>
      </c>
    </row>
    <row r="32" spans="1:3" x14ac:dyDescent="0.25">
      <c r="A32" s="5" t="s">
        <v>11</v>
      </c>
      <c r="B32" s="5" t="s">
        <v>97</v>
      </c>
    </row>
    <row r="33" spans="1:2" x14ac:dyDescent="0.25">
      <c r="A33" s="5" t="s">
        <v>12</v>
      </c>
      <c r="B33" s="5" t="s">
        <v>98</v>
      </c>
    </row>
    <row r="34" spans="1:2" x14ac:dyDescent="0.25">
      <c r="A34" s="5" t="s">
        <v>13</v>
      </c>
      <c r="B34" s="5" t="s">
        <v>99</v>
      </c>
    </row>
    <row r="35" spans="1:2" x14ac:dyDescent="0.25">
      <c r="A35" s="5" t="s">
        <v>14</v>
      </c>
      <c r="B35" s="5" t="s">
        <v>100</v>
      </c>
    </row>
    <row r="36" spans="1:2" x14ac:dyDescent="0.25">
      <c r="A36" s="5" t="s">
        <v>15</v>
      </c>
      <c r="B36" s="5" t="s">
        <v>101</v>
      </c>
    </row>
    <row r="37" spans="1:2" x14ac:dyDescent="0.25">
      <c r="A37" s="5" t="s">
        <v>16</v>
      </c>
      <c r="B37" s="5" t="s">
        <v>102</v>
      </c>
    </row>
    <row r="38" spans="1:2" x14ac:dyDescent="0.25">
      <c r="A38" s="5" t="s">
        <v>17</v>
      </c>
      <c r="B38" s="5" t="s">
        <v>103</v>
      </c>
    </row>
    <row r="39" spans="1:2" x14ac:dyDescent="0.25">
      <c r="A39" s="5" t="s">
        <v>18</v>
      </c>
      <c r="B39" s="5" t="s">
        <v>104</v>
      </c>
    </row>
    <row r="40" spans="1:2" x14ac:dyDescent="0.25">
      <c r="A40" s="5" t="s">
        <v>19</v>
      </c>
      <c r="B40" s="5" t="s">
        <v>105</v>
      </c>
    </row>
    <row r="41" spans="1:2" x14ac:dyDescent="0.25">
      <c r="A41" s="5" t="s">
        <v>20</v>
      </c>
      <c r="B41" s="5" t="s">
        <v>106</v>
      </c>
    </row>
    <row r="42" spans="1:2" x14ac:dyDescent="0.25">
      <c r="A42" s="5" t="s">
        <v>21</v>
      </c>
      <c r="B42" s="5" t="s">
        <v>107</v>
      </c>
    </row>
    <row r="43" spans="1:2" x14ac:dyDescent="0.25">
      <c r="A43" s="5" t="s">
        <v>22</v>
      </c>
      <c r="B43" s="5" t="s">
        <v>108</v>
      </c>
    </row>
    <row r="44" spans="1:2" x14ac:dyDescent="0.25">
      <c r="A44" s="5" t="s">
        <v>23</v>
      </c>
      <c r="B44" s="5" t="s">
        <v>109</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Screening</vt:lpstr>
      <vt:lpstr>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Camilleri</dc:creator>
  <cp:lastModifiedBy>Valentina Camilleri</cp:lastModifiedBy>
  <dcterms:created xsi:type="dcterms:W3CDTF">2026-09-02T13:18:00Z</dcterms:created>
  <dcterms:modified xsi:type="dcterms:W3CDTF">2026-09-02T13:18:00Z</dcterms:modified>
</cp:coreProperties>
</file>